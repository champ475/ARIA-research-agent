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/>
    </xf>
    <xf numFmtId="0" fontId="0" fillId="0" borderId="0" applyAlignment="1" pivotButton="0" quotePrefix="0" xfId="0">
      <alignment/>
    </xf>
    <xf numFmtId="2" fontId="0" fillId="0" borderId="0" applyAlignment="1" pivotButton="0" quotePrefix="0" xfId="0">
      <alignment/>
    </xf>
    <xf numFmtId="3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90" customWidth="1" min="4" max="4"/>
    <col width="12" customWidth="1" min="5" max="5"/>
    <col width="48" customWidth="1" min="6" max="6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Where it comes from</t>
        </is>
      </c>
      <c r="E1" s="1" t="n"/>
      <c r="F1" s="1" t="n"/>
    </row>
    <row r="2">
      <c r="A2" t="inlineStr">
        <is>
          <t>price_in_usd_per_m</t>
        </is>
      </c>
      <c r="B2" s="2" t="n">
        <v>0.15</v>
      </c>
      <c r="C2" t="inlineStr">
        <is>
          <t>verify</t>
        </is>
      </c>
      <c r="D2" t="inlineStr">
        <is>
          <t>config.MODEL_PRICES_USD_PER_M openai/gpt-oss-120b; upper bound (fast nodes use gpt-oss-20b)</t>
        </is>
      </c>
    </row>
    <row r="3">
      <c r="A3" t="inlineStr">
        <is>
          <t>price_out_usd_per_m</t>
        </is>
      </c>
      <c r="B3" s="2" t="n">
        <v>0.6</v>
      </c>
      <c r="C3" t="inlineStr">
        <is>
          <t>verify</t>
        </is>
      </c>
      <c r="D3" t="inlineStr">
        <is>
          <t>same table as price_in_usd_per_m</t>
        </is>
      </c>
    </row>
    <row r="4">
      <c r="A4" t="inlineStr">
        <is>
          <t>usd_inr</t>
        </is>
      </c>
      <c r="B4" s="2" t="n">
        <v>88</v>
      </c>
      <c r="C4" t="inlineStr">
        <is>
          <t>verify</t>
        </is>
      </c>
      <c r="D4" t="inlineStr">
        <is>
          <t>config.USD_INR</t>
        </is>
      </c>
    </row>
    <row r="5">
      <c r="A5" t="inlineStr">
        <is>
          <t>turns_per_dau_per_day</t>
        </is>
      </c>
      <c r="B5" s="2" t="n">
        <v>5</v>
      </c>
      <c r="C5" t="inlineStr">
        <is>
          <t>assumed</t>
        </is>
      </c>
      <c r="D5" t="inlineStr">
        <is>
          <t>no real users yet; equals the free trial's 5 messages a day. Measure after beta</t>
        </is>
      </c>
    </row>
    <row r="6">
      <c r="A6" t="inlineStr">
        <is>
          <t>peak_hour_share</t>
        </is>
      </c>
      <c r="B6" s="2" t="n">
        <v>0.25</v>
      </c>
      <c r="C6" t="inlineStr">
        <is>
          <t>assumed</t>
        </is>
      </c>
      <c r="D6" t="inlineStr">
        <is>
          <t>a quarter of a day's turns in the busiest hour (market open)</t>
        </is>
      </c>
    </row>
    <row r="7">
      <c r="A7" t="inlineStr">
        <is>
          <t>llm_keys</t>
        </is>
      </c>
      <c r="B7" s="2" t="n">
        <v>1</v>
      </c>
      <c r="C7" t="inlineStr">
        <is>
          <t>assumed</t>
        </is>
      </c>
      <c r="D7" t="inlineStr">
        <is>
          <t>operator's Groq trial keys in .env (up to 5, rotated)</t>
        </is>
      </c>
    </row>
    <row r="8">
      <c r="A8" t="inlineStr">
        <is>
          <t>llm_requests_per_key_per_day</t>
        </is>
      </c>
      <c r="B8" s="2" t="n">
        <v>14400</v>
      </c>
      <c r="C8" t="inlineStr">
        <is>
          <t>verify</t>
        </is>
      </c>
      <c r="D8" t="inlineStr">
        <is>
          <t>14,400 is the figure CLAUDE.md states for the old default model; check Groq's current limit for gpt-oss-120b/20b before relying on it</t>
        </is>
      </c>
    </row>
    <row r="9">
      <c r="A9" t="inlineStr">
        <is>
          <t>trial_tokens_per_user_per_day</t>
        </is>
      </c>
      <c r="B9" t="n">
        <v>60000</v>
      </c>
      <c r="C9" t="inlineStr">
        <is>
          <t>measured</t>
        </is>
      </c>
      <c r="D9" t="inlineStr">
        <is>
          <t>config.TRIAL_DAILY_TOKENS (the per-user cap, SEC-12)</t>
        </is>
      </c>
    </row>
    <row r="10">
      <c r="A10" t="inlineStr">
        <is>
          <t>process_turns_per_second</t>
        </is>
      </c>
      <c r="B10" t="n">
        <v>2.4</v>
      </c>
      <c r="C10" t="inlineStr">
        <is>
          <t>measured</t>
        </is>
      </c>
      <c r="D10" t="inlineStr">
        <is>
          <t>docs/load/2026-10-17-local.md: one process saturated its core at about 2.4 turns/s on a laptop</t>
        </is>
      </c>
    </row>
    <row r="11">
      <c r="A11" t="inlineStr">
        <is>
          <t>replicas</t>
        </is>
      </c>
      <c r="B11" s="2" t="n">
        <v>1</v>
      </c>
      <c r="C11" t="inlineStr">
        <is>
          <t>assumed</t>
        </is>
      </c>
      <c r="D11" t="inlineStr">
        <is>
          <t>app processes; `docker compose up --scale app=N`</t>
        </is>
      </c>
    </row>
    <row r="12">
      <c r="A12" t="inlineStr">
        <is>
          <t>db_limit_mb</t>
        </is>
      </c>
      <c r="B12" s="2" t="n">
        <v>512</v>
      </c>
      <c r="C12" t="inlineStr">
        <is>
          <t>verify</t>
        </is>
      </c>
      <c r="D12" t="inlineStr">
        <is>
          <t>config.DB_SIZE_LIMIT_MB; Neon free tier is 0.5 GB per PRD</t>
        </is>
      </c>
    </row>
    <row r="13">
      <c r="A13" t="inlineStr">
        <is>
          <t>db_baseline_mb</t>
        </is>
      </c>
      <c r="B13" t="n">
        <v>15</v>
      </c>
      <c r="C13" t="inlineStr">
        <is>
          <t>measured</t>
        </is>
      </c>
      <c r="D13" t="inlineStr">
        <is>
          <t>migrated database with the screener snapshot and instrument data, before any chats</t>
        </is>
      </c>
    </row>
    <row r="14">
      <c r="A14" t="inlineStr">
        <is>
          <t>bytes_per_turn</t>
        </is>
      </c>
      <c r="B14" t="n">
        <v>6832.5</v>
      </c>
      <c r="C14" t="inlineStr">
        <is>
          <t>measured</t>
        </is>
      </c>
      <c r="D14" t="inlineStr">
        <is>
          <t>turns row 1,475 B (pg_column_size); chat rows from aria_load; checkpoints are 0 since ARCH-04; answer length assumed 3 KB</t>
        </is>
      </c>
    </row>
    <row r="15">
      <c r="A15" t="inlineStr">
        <is>
          <t>horizon_months</t>
        </is>
      </c>
      <c r="B15" s="2" t="n">
        <v>6</v>
      </c>
      <c r="C15" t="inlineStr">
        <is>
          <t>assumed</t>
        </is>
      </c>
      <c r="D15" t="inlineStr">
        <is>
          <t>how long the free database must last before an upgrade</t>
        </is>
      </c>
    </row>
    <row r="16"/>
    <row r="17">
      <c r="A17" s="1" t="inlineStr">
        <is>
          <t>Per kind of question</t>
        </is>
      </c>
      <c r="B17" s="1" t="inlineStr">
        <is>
          <t>Mix</t>
        </is>
      </c>
      <c r="C17" s="1" t="inlineStr">
        <is>
          <t>calls/turn</t>
        </is>
      </c>
      <c r="D17" s="1" t="inlineStr">
        <is>
          <t>tokens in</t>
        </is>
      </c>
      <c r="E17" s="1" t="inlineStr">
        <is>
          <t>tokens out</t>
        </is>
      </c>
      <c r="F17" s="1" t="inlineStr">
        <is>
          <t>status / source</t>
        </is>
      </c>
    </row>
    <row r="18">
      <c r="A18" t="inlineStr">
        <is>
          <t>equity</t>
        </is>
      </c>
      <c r="B18" t="n">
        <v>0.6</v>
      </c>
      <c r="C18" t="n">
        <v>4.5</v>
      </c>
      <c r="D18" t="n">
        <v>3309</v>
      </c>
      <c r="E18" t="n">
        <v>700</v>
      </c>
      <c r="F18" t="inlineStr">
        <is>
          <t>calls and tokens in measured; tokens out assumed</t>
        </is>
      </c>
    </row>
    <row r="19">
      <c r="A19" t="inlineStr">
        <is>
          <t>mf</t>
        </is>
      </c>
      <c r="B19" t="n">
        <v>0.15</v>
      </c>
      <c r="C19" t="n">
        <v>4.5</v>
      </c>
      <c r="D19" t="n">
        <v>1297</v>
      </c>
      <c r="E19" t="n">
        <v>450</v>
      </c>
      <c r="F19" t="inlineStr">
        <is>
          <t>calls and tokens in measured; tokens out assumed</t>
        </is>
      </c>
    </row>
    <row r="20">
      <c r="A20" t="inlineStr">
        <is>
          <t>screener</t>
        </is>
      </c>
      <c r="B20" t="n">
        <v>0.1</v>
      </c>
      <c r="C20" t="n">
        <v>4.5</v>
      </c>
      <c r="D20" t="n">
        <v>1754</v>
      </c>
      <c r="E20" t="n">
        <v>350</v>
      </c>
      <c r="F20" t="inlineStr">
        <is>
          <t>calls and tokens in measured; tokens out assumed</t>
        </is>
      </c>
    </row>
    <row r="21">
      <c r="A21" t="inlineStr">
        <is>
          <t>alert</t>
        </is>
      </c>
      <c r="B21" t="n">
        <v>0.1</v>
      </c>
      <c r="C21" t="n">
        <v>4.6</v>
      </c>
      <c r="D21" t="n">
        <v>1479</v>
      </c>
      <c r="E21" t="n">
        <v>200</v>
      </c>
      <c r="F21" t="inlineStr">
        <is>
          <t>calls and tokens in measured; tokens out assumed</t>
        </is>
      </c>
    </row>
    <row r="22">
      <c r="A22" t="inlineStr">
        <is>
          <t>report</t>
        </is>
      </c>
      <c r="B22" t="n">
        <v>0.05</v>
      </c>
      <c r="C22" t="n">
        <v>4.5</v>
      </c>
      <c r="D22" t="n">
        <v>2329</v>
      </c>
      <c r="E22" t="n">
        <v>1500</v>
      </c>
      <c r="F22" t="inlineStr">
        <is>
          <t>calls and tokens in measured; tokens out assumed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4" customWidth="1" min="1" max="1"/>
    <col width="30" customWidth="1" min="2" max="2"/>
    <col width="42" customWidth="1" min="3" max="3"/>
    <col width="14" customWidth="1" min="4" max="4"/>
    <col width="14" customWidth="1" min="5" max="5"/>
  </cols>
  <sheetData>
    <row r="1">
      <c r="A1" s="3" t="inlineStr">
        <is>
          <t>Cost per turn</t>
        </is>
      </c>
      <c r="B1" s="3" t="inlineStr">
        <is>
          <t>calls</t>
        </is>
      </c>
      <c r="C1" s="3" t="inlineStr">
        <is>
          <t>tokens in</t>
        </is>
      </c>
      <c r="D1" s="3" t="inlineStr">
        <is>
          <t>tokens out</t>
        </is>
      </c>
      <c r="E1" s="3" t="inlineStr">
        <is>
          <t>cost (INR)</t>
        </is>
      </c>
    </row>
    <row r="2">
      <c r="A2" s="4" t="inlineStr">
        <is>
          <t>equity</t>
        </is>
      </c>
      <c r="B2" s="4">
        <f>Inputs!C18</f>
        <v/>
      </c>
      <c r="C2" s="4">
        <f>Inputs!D18</f>
        <v/>
      </c>
      <c r="D2" s="4">
        <f>Inputs!E18</f>
        <v/>
      </c>
      <c r="E2" s="5">
        <f>(C2*Inputs!$B$2+D2*Inputs!$B$3)/1000000*Inputs!$B$4</f>
        <v/>
      </c>
    </row>
    <row r="3">
      <c r="A3" s="4" t="inlineStr">
        <is>
          <t>mf</t>
        </is>
      </c>
      <c r="B3" s="4">
        <f>Inputs!C19</f>
        <v/>
      </c>
      <c r="C3" s="4">
        <f>Inputs!D19</f>
        <v/>
      </c>
      <c r="D3" s="4">
        <f>Inputs!E19</f>
        <v/>
      </c>
      <c r="E3" s="5">
        <f>(C3*Inputs!$B$2+D3*Inputs!$B$3)/1000000*Inputs!$B$4</f>
        <v/>
      </c>
    </row>
    <row r="4">
      <c r="A4" s="4" t="inlineStr">
        <is>
          <t>screener</t>
        </is>
      </c>
      <c r="B4" s="4">
        <f>Inputs!C20</f>
        <v/>
      </c>
      <c r="C4" s="4">
        <f>Inputs!D20</f>
        <v/>
      </c>
      <c r="D4" s="4">
        <f>Inputs!E20</f>
        <v/>
      </c>
      <c r="E4" s="5">
        <f>(C4*Inputs!$B$2+D4*Inputs!$B$3)/1000000*Inputs!$B$4</f>
        <v/>
      </c>
    </row>
    <row r="5">
      <c r="A5" s="4" t="inlineStr">
        <is>
          <t>alert</t>
        </is>
      </c>
      <c r="B5" s="4">
        <f>Inputs!C21</f>
        <v/>
      </c>
      <c r="C5" s="4">
        <f>Inputs!D21</f>
        <v/>
      </c>
      <c r="D5" s="4">
        <f>Inputs!E21</f>
        <v/>
      </c>
      <c r="E5" s="5">
        <f>(C5*Inputs!$B$2+D5*Inputs!$B$3)/1000000*Inputs!$B$4</f>
        <v/>
      </c>
    </row>
    <row r="6">
      <c r="A6" s="4" t="inlineStr">
        <is>
          <t>report</t>
        </is>
      </c>
      <c r="B6" s="4">
        <f>Inputs!C22</f>
        <v/>
      </c>
      <c r="C6" s="4">
        <f>Inputs!D22</f>
        <v/>
      </c>
      <c r="D6" s="4">
        <f>Inputs!E22</f>
        <v/>
      </c>
      <c r="E6" s="5">
        <f>(C6*Inputs!$B$2+D6*Inputs!$B$3)/1000000*Inputs!$B$4</f>
        <v/>
      </c>
    </row>
    <row r="7">
      <c r="A7" s="4" t="inlineStr">
        <is>
          <t>Weighted by the mix</t>
        </is>
      </c>
      <c r="B7" s="4">
        <f>SUMPRODUCT(Inputs!B18:B22,Inputs!C18:C22)</f>
        <v/>
      </c>
      <c r="C7" s="4">
        <f>SUMPRODUCT(Inputs!B18:B22,Inputs!D18:D22)</f>
        <v/>
      </c>
      <c r="D7" s="4">
        <f>SUMPRODUCT(Inputs!B18:B22,Inputs!E18:E22)</f>
        <v/>
      </c>
      <c r="E7" s="5">
        <f>SUMPRODUCT(Inputs!B18:B22,E2:E6)</f>
        <v/>
      </c>
    </row>
    <row r="8">
      <c r="A8" s="4" t="n"/>
      <c r="B8" s="4" t="n"/>
      <c r="C8" s="4" t="n"/>
      <c r="D8" s="4" t="n"/>
      <c r="E8" s="4" t="n"/>
    </row>
    <row r="9">
      <c r="A9" s="3" t="inlineStr">
        <is>
          <t>Limit</t>
        </is>
      </c>
      <c r="B9" s="3" t="inlineStr">
        <is>
          <t>DAU at which it is reached</t>
        </is>
      </c>
      <c r="C9" s="3" t="inlineStr">
        <is>
          <t>What lifts it</t>
        </is>
      </c>
      <c r="D9" s="3" t="n"/>
      <c r="E9" s="3" t="n"/>
    </row>
    <row r="10">
      <c r="A10" s="4" t="inlineStr">
        <is>
          <t>Database size lasting the horizon</t>
        </is>
      </c>
      <c r="B10" s="6">
        <f>(Inputs!$B$12-Inputs!$B$13)*1048576/(Inputs!$B$15*Inputs!$B$5*30*Inputs!$B$14)</f>
        <v/>
      </c>
      <c r="C10" s="4" t="inlineStr">
        <is>
          <t>A paid Neon plan, or archive old chats</t>
        </is>
      </c>
      <c r="D10" s="4" t="n"/>
      <c r="E10" s="4" t="n"/>
    </row>
    <row r="11">
      <c r="A11" s="4" t="inlineStr">
        <is>
          <t>LLM requests per day on the trial keys</t>
        </is>
      </c>
      <c r="B11" s="6">
        <f>Inputs!$B$7*Inputs!$B$8/(Inputs!$B$5*B7)</f>
        <v/>
      </c>
      <c r="C11" s="4" t="inlineStr">
        <is>
          <t>More trial keys, then a paid LLM tier</t>
        </is>
      </c>
      <c r="D11" s="4" t="n"/>
      <c r="E11" s="4" t="n"/>
    </row>
    <row r="12">
      <c r="A12" s="4" t="inlineStr">
        <is>
          <t>App CPU (replicas x turns/s, peak hour)</t>
        </is>
      </c>
      <c r="B12" s="6">
        <f>Inputs!$B$10*Inputs!$B$11*3600/Inputs!$B$6/Inputs!$B$5</f>
        <v/>
      </c>
      <c r="C12" s="4" t="inlineStr">
        <is>
          <t>More replicas (compose --scale app=N)</t>
        </is>
      </c>
      <c r="D12" s="4" t="n"/>
      <c r="E12" s="4" t="n"/>
    </row>
    <row r="13">
      <c r="A13" s="4" t="n"/>
      <c r="B13" s="4" t="n"/>
      <c r="C13" s="4" t="n"/>
      <c r="D13" s="4" t="n"/>
      <c r="E13" s="4" t="n"/>
    </row>
    <row r="14">
      <c r="A14" s="4" t="inlineStr">
        <is>
          <t>First limit to be hit (DAU)</t>
        </is>
      </c>
      <c r="B14" s="4">
        <f>MIN(B10:B12)</f>
        <v/>
      </c>
      <c r="C14" s="4" t="n"/>
      <c r="D14" s="4" t="n"/>
      <c r="E14" s="4" t="n"/>
    </row>
    <row r="15">
      <c r="A15" s="4" t="inlineStr">
        <is>
          <t>Second</t>
        </is>
      </c>
      <c r="B15" s="4">
        <f>SMALL(B10:B12,2)</f>
        <v/>
      </c>
      <c r="C15" s="4" t="n"/>
      <c r="D15" s="4" t="n"/>
      <c r="E15" s="4" t="n"/>
    </row>
    <row r="16">
      <c r="A16" s="4" t="inlineStr">
        <is>
          <t>Third</t>
        </is>
      </c>
      <c r="B16" s="4">
        <f>LARGE(B10:B12,1)</f>
        <v/>
      </c>
      <c r="C16" s="4" t="n"/>
      <c r="D16" s="4" t="n"/>
      <c r="E16" s="4" t="n"/>
    </row>
    <row r="17">
      <c r="A17" s="4" t="n"/>
      <c r="B17" s="4" t="n"/>
      <c r="C17" s="4" t="n"/>
      <c r="D17" s="4" t="n"/>
      <c r="E17" s="4" t="n"/>
    </row>
    <row r="18">
      <c r="A18" s="4" t="inlineStr">
        <is>
          <t>Trial token cap, turns per user per day</t>
        </is>
      </c>
      <c r="B18" s="4">
        <f>Inputs!$B$9/(C7+D7)</f>
        <v/>
      </c>
      <c r="C18" s="4" t="n"/>
      <c r="D18" s="4" t="n"/>
      <c r="E1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2026-10-17T11:18:11Z</dcterms:created>
  <dcterms:modified xmlns:dcterms="http://purl.org/dc/terms/" xmlns:xsi="http://www.w3.org/2001/XMLSchema-instance" xsi:type="dcterms:W3CDTF">2026-10-17T11:18:11Z</dcterms:modified>
</cp:coreProperties>
</file>